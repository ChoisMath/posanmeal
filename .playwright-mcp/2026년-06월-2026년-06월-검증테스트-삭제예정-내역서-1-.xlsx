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신청내역" state="visible" r:id="rId4"/>
    <sheet sheetId="2" name="요일별" state="visible" r:id="rId5"/>
    <sheet sheetId="3" name="에듀파인" state="visible" r:id="rId6"/>
  </sheets>
  <calcPr calcId="171027"/>
</workbook>
</file>

<file path=xl/sharedStrings.xml><?xml version="1.0" encoding="utf-8"?>
<sst xmlns="http://schemas.openxmlformats.org/spreadsheetml/2006/main" count="209" uniqueCount="80">
  <si>
    <t>순번</t>
  </si>
  <si>
    <t>시간</t>
  </si>
  <si>
    <t>아이디</t>
  </si>
  <si>
    <t>학번</t>
  </si>
  <si>
    <t>이름</t>
  </si>
  <si>
    <t>수납액</t>
  </si>
  <si>
    <t>합계</t>
  </si>
  <si>
    <t>면제</t>
  </si>
  <si>
    <t>단가</t>
  </si>
  <si>
    <t>식수</t>
  </si>
  <si>
    <t>06/01</t>
  </si>
  <si>
    <t>06/02</t>
  </si>
  <si>
    <t>06/03</t>
  </si>
  <si>
    <t>06/04</t>
  </si>
  <si>
    <t>06/05</t>
  </si>
  <si>
    <t>06/06</t>
  </si>
  <si>
    <t>06/07</t>
  </si>
  <si>
    <t>06/08</t>
  </si>
  <si>
    <t>06/09</t>
  </si>
  <si>
    <t>06/10</t>
  </si>
  <si>
    <t>06/11</t>
  </si>
  <si>
    <t>06/12</t>
  </si>
  <si>
    <t>06/13</t>
  </si>
  <si>
    <t>06/14</t>
  </si>
  <si>
    <t>06/15</t>
  </si>
  <si>
    <t>06/16</t>
  </si>
  <si>
    <t>06/17</t>
  </si>
  <si>
    <t>06/18</t>
  </si>
  <si>
    <t>06/19</t>
  </si>
  <si>
    <t>06/20</t>
  </si>
  <si>
    <t>06/21</t>
  </si>
  <si>
    <t>06/22</t>
  </si>
  <si>
    <t>06/23</t>
  </si>
  <si>
    <t>06/24</t>
  </si>
  <si>
    <t>06/25</t>
  </si>
  <si>
    <t>06/26</t>
  </si>
  <si>
    <t>06/27</t>
  </si>
  <si>
    <t>06/28</t>
  </si>
  <si>
    <t>06/29</t>
  </si>
  <si>
    <t>06/30</t>
  </si>
  <si>
    <t>월</t>
  </si>
  <si>
    <t>화</t>
  </si>
  <si>
    <t>수</t>
  </si>
  <si>
    <t>목</t>
  </si>
  <si>
    <t>금</t>
  </si>
  <si>
    <t>토</t>
  </si>
  <si>
    <t>일</t>
  </si>
  <si>
    <t>조</t>
  </si>
  <si>
    <t>중</t>
  </si>
  <si>
    <t>석</t>
  </si>
  <si>
    <t>2026-06-11 03:48:50</t>
  </si>
  <si>
    <t>h_s_posan26_1101</t>
  </si>
  <si>
    <t>김규은</t>
  </si>
  <si>
    <t>요일별 식수(첫주 기준)</t>
  </si>
  <si>
    <t>구분</t>
  </si>
  <si>
    <t>조식</t>
  </si>
  <si>
    <t>중식</t>
  </si>
  <si>
    <t>석식</t>
  </si>
  <si>
    <t>*주야</t>
  </si>
  <si>
    <t>*계열</t>
  </si>
  <si>
    <t>*학과</t>
  </si>
  <si>
    <t>*학년</t>
  </si>
  <si>
    <t>*반</t>
  </si>
  <si>
    <t>*번호</t>
  </si>
  <si>
    <t>*성명</t>
  </si>
  <si>
    <t>*대상금액</t>
  </si>
  <si>
    <t>조식면제</t>
  </si>
  <si>
    <t>중식면제</t>
  </si>
  <si>
    <t>석식면제</t>
  </si>
  <si>
    <t>조식수</t>
  </si>
  <si>
    <t>중식수</t>
  </si>
  <si>
    <t>석식수</t>
  </si>
  <si>
    <t>조식금액</t>
  </si>
  <si>
    <t>중식금액</t>
  </si>
  <si>
    <t>석식금액</t>
  </si>
  <si>
    <t>금액합계</t>
  </si>
  <si>
    <t>신청시간</t>
  </si>
  <si>
    <t>주간</t>
  </si>
  <si>
    <t>일반계</t>
  </si>
  <si>
    <t>일반학과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</si>
</sst>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"/>
  <sheetFormatPr defaultRowHeight="15" outlineLevelRow="0" outlineLevelCol="0" x14ac:dyDescent="55"/>
  <cols>
    <col min="1" max="1" width="6" customWidth="1"/>
    <col min="2" max="2" width="18" customWidth="1"/>
    <col min="3" max="3" width="14" customWidth="1"/>
    <col min="4" max="4" width="8" customWidth="1"/>
    <col min="5" max="7" width="10" customWidth="1"/>
    <col min="8" max="16" width="6" customWidth="1"/>
    <col min="17" max="106" width="5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 t="s">
        <v>8</v>
      </c>
      <c r="L1" s="1"/>
      <c r="M1" s="1"/>
      <c r="N1" s="1" t="s">
        <v>9</v>
      </c>
      <c r="O1" s="1"/>
      <c r="P1" s="1"/>
      <c r="Q1" s="1" t="s">
        <v>10</v>
      </c>
      <c r="R1" s="1"/>
      <c r="S1" s="1"/>
      <c r="T1" s="1" t="s">
        <v>11</v>
      </c>
      <c r="U1" s="1"/>
      <c r="V1" s="1"/>
      <c r="W1" s="1" t="s">
        <v>12</v>
      </c>
      <c r="X1" s="1"/>
      <c r="Y1" s="1"/>
      <c r="Z1" s="1" t="s">
        <v>13</v>
      </c>
      <c r="AA1" s="1"/>
      <c r="AB1" s="1"/>
      <c r="AC1" s="1" t="s">
        <v>14</v>
      </c>
      <c r="AD1" s="1"/>
      <c r="AE1" s="1"/>
      <c r="AF1" s="1" t="s">
        <v>15</v>
      </c>
      <c r="AG1" s="1"/>
      <c r="AH1" s="1"/>
      <c r="AI1" s="1" t="s">
        <v>16</v>
      </c>
      <c r="AJ1" s="1"/>
      <c r="AK1" s="1"/>
      <c r="AL1" s="1" t="s">
        <v>17</v>
      </c>
      <c r="AM1" s="1"/>
      <c r="AN1" s="1"/>
      <c r="AO1" s="1" t="s">
        <v>18</v>
      </c>
      <c r="AP1" s="1"/>
      <c r="AQ1" s="1"/>
      <c r="AR1" s="1" t="s">
        <v>19</v>
      </c>
      <c r="AS1" s="1"/>
      <c r="AT1" s="1"/>
      <c r="AU1" s="1" t="s">
        <v>20</v>
      </c>
      <c r="AV1" s="1"/>
      <c r="AW1" s="1"/>
      <c r="AX1" s="1" t="s">
        <v>21</v>
      </c>
      <c r="AY1" s="1"/>
      <c r="AZ1" s="1"/>
      <c r="BA1" s="1" t="s">
        <v>22</v>
      </c>
      <c r="BB1" s="1"/>
      <c r="BC1" s="1"/>
      <c r="BD1" s="1" t="s">
        <v>23</v>
      </c>
      <c r="BE1" s="1"/>
      <c r="BF1" s="1"/>
      <c r="BG1" s="1" t="s">
        <v>24</v>
      </c>
      <c r="BH1" s="1"/>
      <c r="BI1" s="1"/>
      <c r="BJ1" s="1" t="s">
        <v>25</v>
      </c>
      <c r="BK1" s="1"/>
      <c r="BL1" s="1"/>
      <c r="BM1" s="1" t="s">
        <v>26</v>
      </c>
      <c r="BN1" s="1"/>
      <c r="BO1" s="1"/>
      <c r="BP1" s="1" t="s">
        <v>27</v>
      </c>
      <c r="BQ1" s="1"/>
      <c r="BR1" s="1"/>
      <c r="BS1" s="1" t="s">
        <v>28</v>
      </c>
      <c r="BT1" s="1"/>
      <c r="BU1" s="1"/>
      <c r="BV1" s="1" t="s">
        <v>29</v>
      </c>
      <c r="BW1" s="1"/>
      <c r="BX1" s="1"/>
      <c r="BY1" s="1" t="s">
        <v>30</v>
      </c>
      <c r="BZ1" s="1"/>
      <c r="CA1" s="1"/>
      <c r="CB1" s="1" t="s">
        <v>31</v>
      </c>
      <c r="CC1" s="1"/>
      <c r="CD1" s="1"/>
      <c r="CE1" s="1" t="s">
        <v>32</v>
      </c>
      <c r="CF1" s="1"/>
      <c r="CG1" s="1"/>
      <c r="CH1" s="1" t="s">
        <v>33</v>
      </c>
      <c r="CI1" s="1"/>
      <c r="CJ1" s="1"/>
      <c r="CK1" s="1" t="s">
        <v>34</v>
      </c>
      <c r="CL1" s="1"/>
      <c r="CM1" s="1"/>
      <c r="CN1" s="1" t="s">
        <v>35</v>
      </c>
      <c r="CO1" s="1"/>
      <c r="CP1" s="1"/>
      <c r="CQ1" s="1" t="s">
        <v>36</v>
      </c>
      <c r="CR1" s="1"/>
      <c r="CS1" s="1"/>
      <c r="CT1" s="1" t="s">
        <v>37</v>
      </c>
      <c r="CU1" s="1"/>
      <c r="CV1" s="1"/>
      <c r="CW1" s="1" t="s">
        <v>38</v>
      </c>
      <c r="CX1" s="1"/>
      <c r="CY1" s="1"/>
      <c r="CZ1" s="1" t="s">
        <v>39</v>
      </c>
      <c r="DA1" s="1"/>
      <c r="DB1" s="1"/>
    </row>
    <row r="2" spans="1:106" x14ac:dyDescent="0.25">
      <c r="A2" s="1"/>
      <c r="B2" s="1"/>
      <c r="C2" s="1"/>
      <c r="D2" s="1"/>
      <c r="E2" s="1"/>
      <c r="F2" s="1"/>
      <c r="G2" s="1"/>
      <c r="K2" s="1">
        <v>0</v>
      </c>
      <c r="L2" s="1">
        <v>5000</v>
      </c>
      <c r="M2" s="1">
        <v>5680</v>
      </c>
      <c r="Q2" s="1" t="s">
        <v>40</v>
      </c>
      <c r="R2" s="1"/>
      <c r="S2" s="1"/>
      <c r="T2" s="1" t="s">
        <v>41</v>
      </c>
      <c r="U2" s="1"/>
      <c r="V2" s="1"/>
      <c r="W2" s="1" t="s">
        <v>42</v>
      </c>
      <c r="X2" s="1"/>
      <c r="Y2" s="1"/>
      <c r="Z2" s="1" t="s">
        <v>43</v>
      </c>
      <c r="AA2" s="1"/>
      <c r="AB2" s="1"/>
      <c r="AC2" s="1" t="s">
        <v>44</v>
      </c>
      <c r="AD2" s="1"/>
      <c r="AE2" s="1"/>
      <c r="AF2" s="1" t="s">
        <v>45</v>
      </c>
      <c r="AG2" s="1"/>
      <c r="AH2" s="1"/>
      <c r="AI2" s="1" t="s">
        <v>46</v>
      </c>
      <c r="AJ2" s="1"/>
      <c r="AK2" s="1"/>
      <c r="AL2" s="1" t="s">
        <v>40</v>
      </c>
      <c r="AM2" s="1"/>
      <c r="AN2" s="1"/>
      <c r="AO2" s="1" t="s">
        <v>41</v>
      </c>
      <c r="AP2" s="1"/>
      <c r="AQ2" s="1"/>
      <c r="AR2" s="1" t="s">
        <v>42</v>
      </c>
      <c r="AS2" s="1"/>
      <c r="AT2" s="1"/>
      <c r="AU2" s="1" t="s">
        <v>43</v>
      </c>
      <c r="AV2" s="1"/>
      <c r="AW2" s="1"/>
      <c r="AX2" s="1" t="s">
        <v>44</v>
      </c>
      <c r="AY2" s="1"/>
      <c r="AZ2" s="1"/>
      <c r="BA2" s="1" t="s">
        <v>45</v>
      </c>
      <c r="BB2" s="1"/>
      <c r="BC2" s="1"/>
      <c r="BD2" s="1" t="s">
        <v>46</v>
      </c>
      <c r="BE2" s="1"/>
      <c r="BF2" s="1"/>
      <c r="BG2" s="1" t="s">
        <v>40</v>
      </c>
      <c r="BH2" s="1"/>
      <c r="BI2" s="1"/>
      <c r="BJ2" s="1" t="s">
        <v>41</v>
      </c>
      <c r="BK2" s="1"/>
      <c r="BL2" s="1"/>
      <c r="BM2" s="1" t="s">
        <v>42</v>
      </c>
      <c r="BN2" s="1"/>
      <c r="BO2" s="1"/>
      <c r="BP2" s="1" t="s">
        <v>43</v>
      </c>
      <c r="BQ2" s="1"/>
      <c r="BR2" s="1"/>
      <c r="BS2" s="1" t="s">
        <v>44</v>
      </c>
      <c r="BT2" s="1"/>
      <c r="BU2" s="1"/>
      <c r="BV2" s="1" t="s">
        <v>45</v>
      </c>
      <c r="BW2" s="1"/>
      <c r="BX2" s="1"/>
      <c r="BY2" s="1" t="s">
        <v>46</v>
      </c>
      <c r="BZ2" s="1"/>
      <c r="CA2" s="1"/>
      <c r="CB2" s="1" t="s">
        <v>40</v>
      </c>
      <c r="CC2" s="1"/>
      <c r="CD2" s="1"/>
      <c r="CE2" s="1" t="s">
        <v>41</v>
      </c>
      <c r="CF2" s="1"/>
      <c r="CG2" s="1"/>
      <c r="CH2" s="1" t="s">
        <v>42</v>
      </c>
      <c r="CI2" s="1"/>
      <c r="CJ2" s="1"/>
      <c r="CK2" s="1" t="s">
        <v>43</v>
      </c>
      <c r="CL2" s="1"/>
      <c r="CM2" s="1"/>
      <c r="CN2" s="1" t="s">
        <v>44</v>
      </c>
      <c r="CO2" s="1"/>
      <c r="CP2" s="1"/>
      <c r="CQ2" s="1" t="s">
        <v>45</v>
      </c>
      <c r="CR2" s="1"/>
      <c r="CS2" s="1"/>
      <c r="CT2" s="1" t="s">
        <v>46</v>
      </c>
      <c r="CU2" s="1"/>
      <c r="CV2" s="1"/>
      <c r="CW2" s="1" t="s">
        <v>40</v>
      </c>
      <c r="CX2" s="1"/>
      <c r="CY2" s="1"/>
      <c r="CZ2" s="1" t="s">
        <v>41</v>
      </c>
      <c r="DA2" s="1"/>
      <c r="DB2" s="1"/>
    </row>
    <row r="3" spans="1:106" x14ac:dyDescent="0.25">
      <c r="A3" s="1"/>
      <c r="B3" s="1"/>
      <c r="C3" s="1"/>
      <c r="D3" s="1"/>
      <c r="E3" s="1"/>
      <c r="F3" s="1"/>
      <c r="G3" s="1"/>
      <c r="H3" s="1" t="s">
        <v>47</v>
      </c>
      <c r="I3" s="1" t="s">
        <v>48</v>
      </c>
      <c r="J3" s="1" t="s">
        <v>49</v>
      </c>
      <c r="K3" s="1" t="s">
        <v>47</v>
      </c>
      <c r="L3" s="1" t="s">
        <v>48</v>
      </c>
      <c r="M3" s="1" t="s">
        <v>49</v>
      </c>
      <c r="N3" s="1" t="s">
        <v>47</v>
      </c>
      <c r="O3" s="1" t="s">
        <v>48</v>
      </c>
      <c r="P3" s="1" t="s">
        <v>49</v>
      </c>
      <c r="Q3" s="1" t="s">
        <v>47</v>
      </c>
      <c r="R3" s="1" t="s">
        <v>48</v>
      </c>
      <c r="S3" s="1" t="s">
        <v>49</v>
      </c>
      <c r="T3" s="1" t="s">
        <v>47</v>
      </c>
      <c r="U3" s="1" t="s">
        <v>48</v>
      </c>
      <c r="V3" s="1" t="s">
        <v>49</v>
      </c>
      <c r="W3" s="1" t="s">
        <v>47</v>
      </c>
      <c r="X3" s="1" t="s">
        <v>48</v>
      </c>
      <c r="Y3" s="1" t="s">
        <v>49</v>
      </c>
      <c r="Z3" s="1" t="s">
        <v>47</v>
      </c>
      <c r="AA3" s="1" t="s">
        <v>48</v>
      </c>
      <c r="AB3" s="1" t="s">
        <v>49</v>
      </c>
      <c r="AC3" s="1" t="s">
        <v>47</v>
      </c>
      <c r="AD3" s="1" t="s">
        <v>48</v>
      </c>
      <c r="AE3" s="1" t="s">
        <v>49</v>
      </c>
      <c r="AF3" s="1" t="s">
        <v>47</v>
      </c>
      <c r="AG3" s="1" t="s">
        <v>48</v>
      </c>
      <c r="AH3" s="1" t="s">
        <v>49</v>
      </c>
      <c r="AI3" s="1" t="s">
        <v>47</v>
      </c>
      <c r="AJ3" s="1" t="s">
        <v>48</v>
      </c>
      <c r="AK3" s="1" t="s">
        <v>49</v>
      </c>
      <c r="AL3" s="1" t="s">
        <v>47</v>
      </c>
      <c r="AM3" s="1" t="s">
        <v>48</v>
      </c>
      <c r="AN3" s="1" t="s">
        <v>49</v>
      </c>
      <c r="AO3" s="1" t="s">
        <v>47</v>
      </c>
      <c r="AP3" s="1" t="s">
        <v>48</v>
      </c>
      <c r="AQ3" s="1" t="s">
        <v>49</v>
      </c>
      <c r="AR3" s="1" t="s">
        <v>47</v>
      </c>
      <c r="AS3" s="1" t="s">
        <v>48</v>
      </c>
      <c r="AT3" s="1" t="s">
        <v>49</v>
      </c>
      <c r="AU3" s="1" t="s">
        <v>47</v>
      </c>
      <c r="AV3" s="1" t="s">
        <v>48</v>
      </c>
      <c r="AW3" s="1" t="s">
        <v>49</v>
      </c>
      <c r="AX3" s="1" t="s">
        <v>47</v>
      </c>
      <c r="AY3" s="1" t="s">
        <v>48</v>
      </c>
      <c r="AZ3" s="1" t="s">
        <v>49</v>
      </c>
      <c r="BA3" s="1" t="s">
        <v>47</v>
      </c>
      <c r="BB3" s="1" t="s">
        <v>48</v>
      </c>
      <c r="BC3" s="1" t="s">
        <v>49</v>
      </c>
      <c r="BD3" s="1" t="s">
        <v>47</v>
      </c>
      <c r="BE3" s="1" t="s">
        <v>48</v>
      </c>
      <c r="BF3" s="1" t="s">
        <v>49</v>
      </c>
      <c r="BG3" s="1" t="s">
        <v>47</v>
      </c>
      <c r="BH3" s="1" t="s">
        <v>48</v>
      </c>
      <c r="BI3" s="1" t="s">
        <v>49</v>
      </c>
      <c r="BJ3" s="1" t="s">
        <v>47</v>
      </c>
      <c r="BK3" s="1" t="s">
        <v>48</v>
      </c>
      <c r="BL3" s="1" t="s">
        <v>49</v>
      </c>
      <c r="BM3" s="1" t="s">
        <v>47</v>
      </c>
      <c r="BN3" s="1" t="s">
        <v>48</v>
      </c>
      <c r="BO3" s="1" t="s">
        <v>49</v>
      </c>
      <c r="BP3" s="1" t="s">
        <v>47</v>
      </c>
      <c r="BQ3" s="1" t="s">
        <v>48</v>
      </c>
      <c r="BR3" s="1" t="s">
        <v>49</v>
      </c>
      <c r="BS3" s="1" t="s">
        <v>47</v>
      </c>
      <c r="BT3" s="1" t="s">
        <v>48</v>
      </c>
      <c r="BU3" s="1" t="s">
        <v>49</v>
      </c>
      <c r="BV3" s="1" t="s">
        <v>47</v>
      </c>
      <c r="BW3" s="1" t="s">
        <v>48</v>
      </c>
      <c r="BX3" s="1" t="s">
        <v>49</v>
      </c>
      <c r="BY3" s="1" t="s">
        <v>47</v>
      </c>
      <c r="BZ3" s="1" t="s">
        <v>48</v>
      </c>
      <c r="CA3" s="1" t="s">
        <v>49</v>
      </c>
      <c r="CB3" s="1" t="s">
        <v>47</v>
      </c>
      <c r="CC3" s="1" t="s">
        <v>48</v>
      </c>
      <c r="CD3" s="1" t="s">
        <v>49</v>
      </c>
      <c r="CE3" s="1" t="s">
        <v>47</v>
      </c>
      <c r="CF3" s="1" t="s">
        <v>48</v>
      </c>
      <c r="CG3" s="1" t="s">
        <v>49</v>
      </c>
      <c r="CH3" s="1" t="s">
        <v>47</v>
      </c>
      <c r="CI3" s="1" t="s">
        <v>48</v>
      </c>
      <c r="CJ3" s="1" t="s">
        <v>49</v>
      </c>
      <c r="CK3" s="1" t="s">
        <v>47</v>
      </c>
      <c r="CL3" s="1" t="s">
        <v>48</v>
      </c>
      <c r="CM3" s="1" t="s">
        <v>49</v>
      </c>
      <c r="CN3" s="1" t="s">
        <v>47</v>
      </c>
      <c r="CO3" s="1" t="s">
        <v>48</v>
      </c>
      <c r="CP3" s="1" t="s">
        <v>49</v>
      </c>
      <c r="CQ3" s="1" t="s">
        <v>47</v>
      </c>
      <c r="CR3" s="1" t="s">
        <v>48</v>
      </c>
      <c r="CS3" s="1" t="s">
        <v>49</v>
      </c>
      <c r="CT3" s="1" t="s">
        <v>47</v>
      </c>
      <c r="CU3" s="1" t="s">
        <v>48</v>
      </c>
      <c r="CV3" s="1" t="s">
        <v>49</v>
      </c>
      <c r="CW3" s="1" t="s">
        <v>47</v>
      </c>
      <c r="CX3" s="1" t="s">
        <v>48</v>
      </c>
      <c r="CY3" s="1" t="s">
        <v>49</v>
      </c>
      <c r="CZ3" s="1" t="s">
        <v>47</v>
      </c>
      <c r="DA3" s="1" t="s">
        <v>48</v>
      </c>
      <c r="DB3" s="1" t="s">
        <v>49</v>
      </c>
    </row>
    <row r="4" spans="1:106" x14ac:dyDescent="0.25">
      <c r="A4">
        <v>1</v>
      </c>
      <c r="B4" t="s">
        <v>50</v>
      </c>
      <c r="C4" t="s">
        <v>51</v>
      </c>
      <c r="D4">
        <v>10101</v>
      </c>
      <c r="E4" t="s">
        <v>52</v>
      </c>
      <c r="F4">
        <f>(1-H4)*K4+(1-I4)*L4+(1-J4)*M4</f>
      </c>
      <c r="G4">
        <f>SUM(K4:M4)</f>
      </c>
      <c r="K4">
        <f>K$2*N4</f>
      </c>
      <c r="L4">
        <f>L$2*O4</f>
      </c>
      <c r="M4">
        <f>M$2*P4</f>
      </c>
      <c r="O4">
        <v>30</v>
      </c>
      <c r="P4">
        <v>30</v>
      </c>
      <c r="R4">
        <v>1</v>
      </c>
      <c r="S4">
        <v>1</v>
      </c>
      <c r="U4">
        <v>1</v>
      </c>
      <c r="V4">
        <v>1</v>
      </c>
      <c r="X4">
        <v>1</v>
      </c>
      <c r="Y4">
        <v>1</v>
      </c>
      <c r="AA4">
        <v>1</v>
      </c>
      <c r="AB4">
        <v>1</v>
      </c>
      <c r="AD4">
        <v>1</v>
      </c>
      <c r="AE4">
        <v>1</v>
      </c>
      <c r="AG4">
        <v>1</v>
      </c>
      <c r="AH4">
        <v>1</v>
      </c>
      <c r="AJ4">
        <v>1</v>
      </c>
      <c r="AK4">
        <v>1</v>
      </c>
      <c r="AM4">
        <v>1</v>
      </c>
      <c r="AN4">
        <v>1</v>
      </c>
      <c r="AP4">
        <v>1</v>
      </c>
      <c r="AQ4">
        <v>1</v>
      </c>
      <c r="AS4">
        <v>1</v>
      </c>
      <c r="AT4">
        <v>1</v>
      </c>
      <c r="AV4">
        <v>1</v>
      </c>
      <c r="AW4">
        <v>1</v>
      </c>
      <c r="AY4">
        <v>1</v>
      </c>
      <c r="AZ4">
        <v>1</v>
      </c>
      <c r="BB4">
        <v>1</v>
      </c>
      <c r="BC4">
        <v>1</v>
      </c>
      <c r="BE4">
        <v>1</v>
      </c>
      <c r="BF4">
        <v>1</v>
      </c>
      <c r="BH4">
        <v>1</v>
      </c>
      <c r="BI4">
        <v>1</v>
      </c>
      <c r="BK4">
        <v>1</v>
      </c>
      <c r="BL4">
        <v>1</v>
      </c>
      <c r="BN4">
        <v>1</v>
      </c>
      <c r="BO4">
        <v>1</v>
      </c>
      <c r="BQ4">
        <v>1</v>
      </c>
      <c r="BR4">
        <v>1</v>
      </c>
      <c r="BT4">
        <v>1</v>
      </c>
      <c r="BU4">
        <v>1</v>
      </c>
      <c r="BW4">
        <v>1</v>
      </c>
      <c r="BX4">
        <v>1</v>
      </c>
      <c r="BZ4">
        <v>1</v>
      </c>
      <c r="CA4">
        <v>1</v>
      </c>
      <c r="CC4">
        <v>1</v>
      </c>
      <c r="CD4">
        <v>1</v>
      </c>
      <c r="CF4">
        <v>1</v>
      </c>
      <c r="CG4">
        <v>1</v>
      </c>
      <c r="CI4">
        <v>1</v>
      </c>
      <c r="CJ4">
        <v>1</v>
      </c>
      <c r="CL4">
        <v>1</v>
      </c>
      <c r="CM4">
        <v>1</v>
      </c>
      <c r="CO4">
        <v>1</v>
      </c>
      <c r="CP4">
        <v>1</v>
      </c>
      <c r="CR4">
        <v>1</v>
      </c>
      <c r="CS4">
        <v>1</v>
      </c>
      <c r="CU4">
        <v>1</v>
      </c>
      <c r="CV4">
        <v>1</v>
      </c>
      <c r="CX4">
        <v>1</v>
      </c>
      <c r="CY4">
        <v>1</v>
      </c>
      <c r="DA4">
        <v>1</v>
      </c>
      <c r="DB4">
        <v>1</v>
      </c>
    </row>
    <row r="5" spans="4:106" x14ac:dyDescent="0.25">
      <c r="D5" s="2" t="s">
        <v>6</v>
      </c>
      <c r="E5">
        <f>COUNTA(E4:E4)</f>
      </c>
      <c r="F5">
        <f>SUM(F4:F4)</f>
      </c>
      <c r="G5">
        <f>SUM(G4:G4)</f>
      </c>
      <c r="H5">
        <f>SUM(H4:H4)</f>
      </c>
      <c r="I5">
        <f>SUM(I4:I4)</f>
      </c>
      <c r="J5">
        <f>SUM(J4:J4)</f>
      </c>
      <c r="K5">
        <f>SUM(K4:K4)</f>
      </c>
      <c r="L5">
        <f>SUM(L4:L4)</f>
      </c>
      <c r="M5">
        <f>SUM(M4:M4)</f>
      </c>
      <c r="N5">
        <f>SUM(N4:N4)</f>
      </c>
      <c r="O5">
        <f>SUM(O4:O4)</f>
      </c>
      <c r="P5">
        <f>SUM(P4:P4)</f>
      </c>
      <c r="Q5">
        <f>COUNTA(Q4:Q4)</f>
      </c>
      <c r="R5">
        <f>COUNTA(R4:R4)</f>
      </c>
      <c r="S5">
        <f>COUNTA(S4:S4)</f>
      </c>
      <c r="T5">
        <f>COUNTA(T4:T4)</f>
      </c>
      <c r="U5">
        <f>COUNTA(U4:U4)</f>
      </c>
      <c r="V5">
        <f>COUNTA(V4:V4)</f>
      </c>
      <c r="W5">
        <f>COUNTA(W4:W4)</f>
      </c>
      <c r="X5">
        <f>COUNTA(X4:X4)</f>
      </c>
      <c r="Y5">
        <f>COUNTA(Y4:Y4)</f>
      </c>
      <c r="Z5">
        <f>COUNTA(Z4:Z4)</f>
      </c>
      <c r="AA5">
        <f>COUNTA(AA4:AA4)</f>
      </c>
      <c r="AB5">
        <f>COUNTA(AB4:AB4)</f>
      </c>
      <c r="AC5">
        <f>COUNTA(AC4:AC4)</f>
      </c>
      <c r="AD5">
        <f>COUNTA(AD4:AD4)</f>
      </c>
      <c r="AE5">
        <f>COUNTA(AE4:AE4)</f>
      </c>
      <c r="AF5">
        <f>COUNTA(AF4:AF4)</f>
      </c>
      <c r="AG5">
        <f>COUNTA(AG4:AG4)</f>
      </c>
      <c r="AH5">
        <f>COUNTA(AH4:AH4)</f>
      </c>
      <c r="AI5">
        <f>COUNTA(AI4:AI4)</f>
      </c>
      <c r="AJ5">
        <f>COUNTA(AJ4:AJ4)</f>
      </c>
      <c r="AK5">
        <f>COUNTA(AK4:AK4)</f>
      </c>
      <c r="AL5">
        <f>COUNTA(AL4:AL4)</f>
      </c>
      <c r="AM5">
        <f>COUNTA(AM4:AM4)</f>
      </c>
      <c r="AN5">
        <f>COUNTA(AN4:AN4)</f>
      </c>
      <c r="AO5">
        <f>COUNTA(AO4:AO4)</f>
      </c>
      <c r="AP5">
        <f>COUNTA(AP4:AP4)</f>
      </c>
      <c r="AQ5">
        <f>COUNTA(AQ4:AQ4)</f>
      </c>
      <c r="AR5">
        <f>COUNTA(AR4:AR4)</f>
      </c>
      <c r="AS5">
        <f>COUNTA(AS4:AS4)</f>
      </c>
      <c r="AT5">
        <f>COUNTA(AT4:AT4)</f>
      </c>
      <c r="AU5">
        <f>COUNTA(AU4:AU4)</f>
      </c>
      <c r="AV5">
        <f>COUNTA(AV4:AV4)</f>
      </c>
      <c r="AW5">
        <f>COUNTA(AW4:AW4)</f>
      </c>
      <c r="AX5">
        <f>COUNTA(AX4:AX4)</f>
      </c>
      <c r="AY5">
        <f>COUNTA(AY4:AY4)</f>
      </c>
      <c r="AZ5">
        <f>COUNTA(AZ4:AZ4)</f>
      </c>
      <c r="BA5">
        <f>COUNTA(BA4:BA4)</f>
      </c>
      <c r="BB5">
        <f>COUNTA(BB4:BB4)</f>
      </c>
      <c r="BC5">
        <f>COUNTA(BC4:BC4)</f>
      </c>
      <c r="BD5">
        <f>COUNTA(BD4:BD4)</f>
      </c>
      <c r="BE5">
        <f>COUNTA(BE4:BE4)</f>
      </c>
      <c r="BF5">
        <f>COUNTA(BF4:BF4)</f>
      </c>
      <c r="BG5">
        <f>COUNTA(BG4:BG4)</f>
      </c>
      <c r="BH5">
        <f>COUNTA(BH4:BH4)</f>
      </c>
      <c r="BI5">
        <f>COUNTA(BI4:BI4)</f>
      </c>
      <c r="BJ5">
        <f>COUNTA(BJ4:BJ4)</f>
      </c>
      <c r="BK5">
        <f>COUNTA(BK4:BK4)</f>
      </c>
      <c r="BL5">
        <f>COUNTA(BL4:BL4)</f>
      </c>
      <c r="BM5">
        <f>COUNTA(BM4:BM4)</f>
      </c>
      <c r="BN5">
        <f>COUNTA(BN4:BN4)</f>
      </c>
      <c r="BO5">
        <f>COUNTA(BO4:BO4)</f>
      </c>
      <c r="BP5">
        <f>COUNTA(BP4:BP4)</f>
      </c>
      <c r="BQ5">
        <f>COUNTA(BQ4:BQ4)</f>
      </c>
      <c r="BR5">
        <f>COUNTA(BR4:BR4)</f>
      </c>
      <c r="BS5">
        <f>COUNTA(BS4:BS4)</f>
      </c>
      <c r="BT5">
        <f>COUNTA(BT4:BT4)</f>
      </c>
      <c r="BU5">
        <f>COUNTA(BU4:BU4)</f>
      </c>
      <c r="BV5">
        <f>COUNTA(BV4:BV4)</f>
      </c>
      <c r="BW5">
        <f>COUNTA(BW4:BW4)</f>
      </c>
      <c r="BX5">
        <f>COUNTA(BX4:BX4)</f>
      </c>
      <c r="BY5">
        <f>COUNTA(BY4:BY4)</f>
      </c>
      <c r="BZ5">
        <f>COUNTA(BZ4:BZ4)</f>
      </c>
      <c r="CA5">
        <f>COUNTA(CA4:CA4)</f>
      </c>
      <c r="CB5">
        <f>COUNTA(CB4:CB4)</f>
      </c>
      <c r="CC5">
        <f>COUNTA(CC4:CC4)</f>
      </c>
      <c r="CD5">
        <f>COUNTA(CD4:CD4)</f>
      </c>
      <c r="CE5">
        <f>COUNTA(CE4:CE4)</f>
      </c>
      <c r="CF5">
        <f>COUNTA(CF4:CF4)</f>
      </c>
      <c r="CG5">
        <f>COUNTA(CG4:CG4)</f>
      </c>
      <c r="CH5">
        <f>COUNTA(CH4:CH4)</f>
      </c>
      <c r="CI5">
        <f>COUNTA(CI4:CI4)</f>
      </c>
      <c r="CJ5">
        <f>COUNTA(CJ4:CJ4)</f>
      </c>
      <c r="CK5">
        <f>COUNTA(CK4:CK4)</f>
      </c>
      <c r="CL5">
        <f>COUNTA(CL4:CL4)</f>
      </c>
      <c r="CM5">
        <f>COUNTA(CM4:CM4)</f>
      </c>
      <c r="CN5">
        <f>COUNTA(CN4:CN4)</f>
      </c>
      <c r="CO5">
        <f>COUNTA(CO4:CO4)</f>
      </c>
      <c r="CP5">
        <f>COUNTA(CP4:CP4)</f>
      </c>
      <c r="CQ5">
        <f>COUNTA(CQ4:CQ4)</f>
      </c>
      <c r="CR5">
        <f>COUNTA(CR4:CR4)</f>
      </c>
      <c r="CS5">
        <f>COUNTA(CS4:CS4)</f>
      </c>
      <c r="CT5">
        <f>COUNTA(CT4:CT4)</f>
      </c>
      <c r="CU5">
        <f>COUNTA(CU4:CU4)</f>
      </c>
      <c r="CV5">
        <f>COUNTA(CV4:CV4)</f>
      </c>
      <c r="CW5">
        <f>COUNTA(CW4:CW4)</f>
      </c>
      <c r="CX5">
        <f>COUNTA(CX4:CX4)</f>
      </c>
      <c r="CY5">
        <f>COUNTA(CY4:CY4)</f>
      </c>
      <c r="CZ5">
        <f>COUNTA(CZ4:CZ4)</f>
      </c>
      <c r="DA5">
        <f>COUNTA(DA4:DA4)</f>
      </c>
      <c r="DB5">
        <f>COUNTA(DB4:DB4)</f>
      </c>
    </row>
  </sheetData>
  <mergeCells count="70"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A1:A3"/>
    <mergeCell ref="B1:B3"/>
    <mergeCell ref="C1:C3"/>
    <mergeCell ref="D1:D3"/>
    <mergeCell ref="E1:E3"/>
    <mergeCell ref="F1:F3"/>
    <mergeCell ref="G1:G3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0" customWidth="1"/>
    <col min="2" max="8" width="8" customWidth="1"/>
  </cols>
  <sheetData>
    <row r="1" spans="1:8" x14ac:dyDescent="0.25">
      <c r="A1" s="3" t="s">
        <v>53</v>
      </c>
      <c r="B1" s="3"/>
      <c r="C1" s="3"/>
      <c r="D1" s="3"/>
      <c r="E1" s="3"/>
      <c r="F1" s="3"/>
      <c r="G1" s="3"/>
      <c r="H1" s="3"/>
    </row>
    <row r="2" spans="1:8" x14ac:dyDescent="0.25">
      <c r="A2" s="1" t="s">
        <v>54</v>
      </c>
      <c r="B2" s="1" t="s">
        <v>46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</row>
    <row r="3" spans="1:8" x14ac:dyDescent="0.25">
      <c r="A3" s="1" t="s">
        <v>55</v>
      </c>
    </row>
    <row r="4" spans="1:8" x14ac:dyDescent="0.25">
      <c r="A4" s="1" t="s">
        <v>56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25">
      <c r="A5" s="1" t="s">
        <v>57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9" width="12" customWidth="1"/>
  </cols>
  <sheetData>
    <row r="1" spans="1:19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  <row r="2" spans="1:19" x14ac:dyDescent="0.25">
      <c r="A2" t="s">
        <v>77</v>
      </c>
      <c r="B2" t="s">
        <v>78</v>
      </c>
      <c r="C2" t="s">
        <v>79</v>
      </c>
      <c r="D2">
        <v>1</v>
      </c>
      <c r="E2">
        <v>1</v>
      </c>
      <c r="F2">
        <v>1</v>
      </c>
      <c r="G2" t="s">
        <v>52</v>
      </c>
      <c r="H2">
        <f>전체신청내역!F4</f>
      </c>
      <c r="I2">
        <f>전체신청내역!H4</f>
      </c>
      <c r="J2">
        <f>전체신청내역!I4</f>
      </c>
      <c r="K2">
        <f>전체신청내역!J4</f>
      </c>
      <c r="L2">
        <f>전체신청내역!N4</f>
      </c>
      <c r="M2">
        <f>전체신청내역!O4</f>
      </c>
      <c r="N2">
        <f>전체신청내역!P4</f>
      </c>
      <c r="O2">
        <f>전체신청내역!K4</f>
      </c>
      <c r="P2">
        <f>전체신청내역!L4</f>
      </c>
      <c r="Q2">
        <f>전체신청내역!M4</f>
      </c>
      <c r="R2">
        <f>전체신청내역!G4</f>
      </c>
      <c r="S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전체신청내역</vt:lpstr>
      <vt:lpstr>요일별</vt:lpstr>
      <vt:lpstr>에듀파인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PosanMeal</dc:creator>
  <dc:title/>
  <dc:subject/>
  <dc:description/>
  <cp:keywords/>
  <cp:category/>
  <cp:lastModifiedBy>Unknown</cp:lastModifiedBy>
  <dcterms:created xsi:type="dcterms:W3CDTF">2026-06-10T18:49:06Z</dcterms:created>
  <dcterms:modified xsi:type="dcterms:W3CDTF">2026-06-10T18:49:06Z</dcterms:modified>
</cp:coreProperties>
</file>